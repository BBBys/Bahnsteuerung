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hn\PGBahn\PTest\"/>
    </mc:Choice>
  </mc:AlternateContent>
  <xr:revisionPtr revIDLastSave="0" documentId="13_ncr:1_{D6B09CF3-563A-4941-8FAD-DF1259712776}" xr6:coauthVersionLast="47" xr6:coauthVersionMax="47" xr10:uidLastSave="{00000000-0000-0000-0000-000000000000}"/>
  <bookViews>
    <workbookView xWindow="-108" yWindow="-108" windowWidth="23256" windowHeight="12720" xr2:uid="{1A864C48-A23A-4B52-8AFA-50F971829EE7}"/>
  </bookViews>
  <sheets>
    <sheet name="DB" sheetId="3" r:id="rId1"/>
    <sheet name="SNCF" sheetId="2" r:id="rId2"/>
    <sheet name="Rangi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8" i="3" l="1"/>
  <c r="T27" i="3"/>
  <c r="T26" i="3"/>
  <c r="T25" i="3"/>
  <c r="T24" i="3"/>
  <c r="T23" i="3"/>
  <c r="T22" i="3"/>
  <c r="I32" i="3"/>
  <c r="I31" i="3"/>
  <c r="I30" i="3"/>
  <c r="I29" i="3"/>
  <c r="I28" i="3"/>
  <c r="I27" i="3"/>
  <c r="I26" i="3"/>
  <c r="I25" i="3"/>
  <c r="I24" i="3"/>
  <c r="I23" i="3"/>
  <c r="I22" i="3"/>
  <c r="T21" i="3"/>
  <c r="I21" i="3"/>
  <c r="I20" i="3"/>
  <c r="I19" i="3"/>
  <c r="I18" i="3"/>
  <c r="I17" i="3"/>
  <c r="I16" i="3"/>
  <c r="I15" i="3"/>
  <c r="I14" i="3"/>
  <c r="I13" i="3"/>
  <c r="I12" i="3"/>
  <c r="I11" i="3"/>
  <c r="I10" i="3"/>
  <c r="B10" i="3"/>
  <c r="D10" i="3" s="1"/>
  <c r="H10" i="3" s="1"/>
  <c r="G9" i="3"/>
  <c r="I9" i="3" s="1"/>
  <c r="B9" i="3"/>
  <c r="D9" i="3" s="1"/>
  <c r="H9" i="3" s="1"/>
  <c r="G8" i="3"/>
  <c r="I8" i="3" s="1"/>
  <c r="B8" i="3"/>
  <c r="D8" i="3" s="1"/>
  <c r="H8" i="3" s="1"/>
  <c r="G7" i="3"/>
  <c r="I7" i="3" s="1"/>
  <c r="D7" i="3"/>
  <c r="H7" i="3" s="1"/>
  <c r="B7" i="3"/>
  <c r="G6" i="3"/>
  <c r="I6" i="3" s="1"/>
  <c r="B6" i="3"/>
  <c r="D6" i="3" s="1"/>
  <c r="H6" i="3" s="1"/>
  <c r="G5" i="3"/>
  <c r="I5" i="3" s="1"/>
  <c r="B5" i="3"/>
  <c r="D5" i="3" s="1"/>
  <c r="H5" i="3" s="1"/>
  <c r="G4" i="3"/>
  <c r="I4" i="3" s="1"/>
  <c r="B4" i="3"/>
  <c r="D4" i="3" s="1"/>
  <c r="H4" i="3" s="1"/>
  <c r="G3" i="3"/>
  <c r="I3" i="3" s="1"/>
  <c r="D3" i="3"/>
  <c r="H3" i="3" s="1"/>
  <c r="B3" i="3"/>
  <c r="G2" i="3"/>
  <c r="I2" i="3" s="1"/>
  <c r="B2" i="3"/>
  <c r="D2" i="3" s="1"/>
  <c r="H2" i="3" s="1"/>
  <c r="I1" i="3"/>
  <c r="T26" i="2"/>
  <c r="T26" i="1"/>
  <c r="T25" i="2"/>
  <c r="T24" i="2"/>
  <c r="T23" i="2"/>
  <c r="T22" i="2"/>
  <c r="G10" i="2"/>
  <c r="I10" i="2" s="1"/>
  <c r="D10" i="2"/>
  <c r="H10" i="2" s="1"/>
  <c r="B10" i="2"/>
  <c r="G9" i="2"/>
  <c r="I9" i="2" s="1"/>
  <c r="D9" i="2"/>
  <c r="H9" i="2" s="1"/>
  <c r="B9" i="2"/>
  <c r="I32" i="2"/>
  <c r="I31" i="2"/>
  <c r="I30" i="2"/>
  <c r="I29" i="2"/>
  <c r="I28" i="2"/>
  <c r="I27" i="2"/>
  <c r="I26" i="2"/>
  <c r="I25" i="2"/>
  <c r="I24" i="2"/>
  <c r="I23" i="2"/>
  <c r="I22" i="2"/>
  <c r="T21" i="2"/>
  <c r="I21" i="2"/>
  <c r="I20" i="2"/>
  <c r="I19" i="2"/>
  <c r="I18" i="2"/>
  <c r="I17" i="2"/>
  <c r="I16" i="2"/>
  <c r="I15" i="2"/>
  <c r="I14" i="2"/>
  <c r="I13" i="2"/>
  <c r="I12" i="2"/>
  <c r="I11" i="2"/>
  <c r="G8" i="2"/>
  <c r="I8" i="2" s="1"/>
  <c r="B8" i="2"/>
  <c r="D8" i="2" s="1"/>
  <c r="H8" i="2" s="1"/>
  <c r="G7" i="2"/>
  <c r="I7" i="2" s="1"/>
  <c r="D7" i="2"/>
  <c r="H7" i="2" s="1"/>
  <c r="B7" i="2"/>
  <c r="G6" i="2"/>
  <c r="I6" i="2" s="1"/>
  <c r="D6" i="2"/>
  <c r="H6" i="2" s="1"/>
  <c r="B6" i="2"/>
  <c r="G5" i="2"/>
  <c r="I5" i="2" s="1"/>
  <c r="B5" i="2"/>
  <c r="D5" i="2" s="1"/>
  <c r="H5" i="2" s="1"/>
  <c r="G4" i="2"/>
  <c r="I4" i="2" s="1"/>
  <c r="B4" i="2"/>
  <c r="D4" i="2" s="1"/>
  <c r="H4" i="2" s="1"/>
  <c r="G3" i="2"/>
  <c r="I3" i="2" s="1"/>
  <c r="D3" i="2"/>
  <c r="H3" i="2" s="1"/>
  <c r="B3" i="2"/>
  <c r="G2" i="2"/>
  <c r="I2" i="2" s="1"/>
  <c r="D2" i="2"/>
  <c r="H2" i="2" s="1"/>
  <c r="B2" i="2"/>
  <c r="I1" i="2"/>
  <c r="T25" i="1"/>
  <c r="T24" i="1"/>
  <c r="T23" i="1"/>
  <c r="T22" i="1"/>
  <c r="T21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/>
  <c r="G8" i="1"/>
  <c r="B8" i="1"/>
  <c r="D8" i="1" s="1"/>
  <c r="H8" i="1" s="1"/>
  <c r="G7" i="1"/>
  <c r="B7" i="1"/>
  <c r="D7" i="1" s="1"/>
  <c r="H7" i="1" s="1"/>
  <c r="G6" i="1"/>
  <c r="B6" i="1"/>
  <c r="D6" i="1" s="1"/>
  <c r="H6" i="1" s="1"/>
  <c r="G5" i="1"/>
  <c r="B5" i="1"/>
  <c r="D5" i="1" s="1"/>
  <c r="H5" i="1" s="1"/>
  <c r="G4" i="1"/>
  <c r="B4" i="1"/>
  <c r="D4" i="1" s="1"/>
  <c r="H4" i="1" s="1"/>
  <c r="G3" i="1"/>
  <c r="D3" i="1"/>
  <c r="H3" i="1" s="1"/>
  <c r="B3" i="1"/>
  <c r="G2" i="1"/>
  <c r="B2" i="1"/>
  <c r="D2" i="1" s="1"/>
  <c r="H2" i="1" s="1"/>
</calcChain>
</file>

<file path=xl/sharedStrings.xml><?xml version="1.0" encoding="utf-8"?>
<sst xmlns="http://schemas.openxmlformats.org/spreadsheetml/2006/main" count="27" uniqueCount="7">
  <si>
    <t>cm</t>
  </si>
  <si>
    <t>echt</t>
  </si>
  <si>
    <t>Zeit</t>
  </si>
  <si>
    <t>m/s</t>
  </si>
  <si>
    <t>Einstellung</t>
  </si>
  <si>
    <t>kmh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</si>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</sst>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DB!$H$1</c:f>
              <c:strCache>
                <c:ptCount val="1"/>
                <c:pt idx="0">
                  <c:v> kmh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7682917760279964"/>
                  <c:y val="-0.11954177602799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DB!$G$2:$G$26</c:f>
              <c:numCache>
                <c:formatCode>General</c:formatCode>
                <c:ptCount val="25"/>
                <c:pt idx="0">
                  <c:v>265</c:v>
                </c:pt>
                <c:pt idx="1">
                  <c:v>387</c:v>
                </c:pt>
                <c:pt idx="2">
                  <c:v>462</c:v>
                </c:pt>
                <c:pt idx="3">
                  <c:v>788</c:v>
                </c:pt>
                <c:pt idx="4">
                  <c:v>900</c:v>
                </c:pt>
                <c:pt idx="5">
                  <c:v>600</c:v>
                </c:pt>
                <c:pt idx="6">
                  <c:v>700</c:v>
                </c:pt>
                <c:pt idx="7">
                  <c:v>300</c:v>
                </c:pt>
                <c:pt idx="8">
                  <c:v>500</c:v>
                </c:pt>
              </c:numCache>
            </c:numRef>
          </c:xVal>
          <c:yVal>
            <c:numRef>
              <c:f>DB!$H$2:$H$26</c:f>
              <c:numCache>
                <c:formatCode>_(* #,##0.00_);_(* \(#,##0.00\);_(* "-"??_);_(@_)</c:formatCode>
                <c:ptCount val="25"/>
                <c:pt idx="0">
                  <c:v>11.323384615384615</c:v>
                </c:pt>
                <c:pt idx="1">
                  <c:v>53.334782608695662</c:v>
                </c:pt>
                <c:pt idx="2">
                  <c:v>78.3</c:v>
                </c:pt>
                <c:pt idx="3">
                  <c:v>130.84799999999998</c:v>
                </c:pt>
                <c:pt idx="4">
                  <c:v>156.6</c:v>
                </c:pt>
                <c:pt idx="5">
                  <c:v>109.44535315985131</c:v>
                </c:pt>
                <c:pt idx="6">
                  <c:v>135.67188940092166</c:v>
                </c:pt>
                <c:pt idx="7">
                  <c:v>23.55264</c:v>
                </c:pt>
                <c:pt idx="8">
                  <c:v>93.462857142857146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F7-414B-B324-AF6D970CA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228720"/>
        <c:axId val="435227408"/>
      </c:scatterChart>
      <c:valAx>
        <c:axId val="43522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5227408"/>
        <c:crosses val="autoZero"/>
        <c:crossBetween val="midCat"/>
      </c:valAx>
      <c:valAx>
        <c:axId val="4352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522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DB!$I$1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4.8170464448329058E-2"/>
                  <c:y val="-8.0007227357449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DB!$H$2:$H$32</c:f>
              <c:numCache>
                <c:formatCode>_(* #,##0.00_);_(* \(#,##0.00\);_(* "-"??_);_(@_)</c:formatCode>
                <c:ptCount val="31"/>
                <c:pt idx="0">
                  <c:v>11.323384615384615</c:v>
                </c:pt>
                <c:pt idx="1">
                  <c:v>53.334782608695662</c:v>
                </c:pt>
                <c:pt idx="2">
                  <c:v>78.3</c:v>
                </c:pt>
                <c:pt idx="3">
                  <c:v>130.84799999999998</c:v>
                </c:pt>
                <c:pt idx="4">
                  <c:v>156.6</c:v>
                </c:pt>
                <c:pt idx="5">
                  <c:v>109.44535315985131</c:v>
                </c:pt>
                <c:pt idx="6">
                  <c:v>135.67188940092166</c:v>
                </c:pt>
                <c:pt idx="7">
                  <c:v>23.55264</c:v>
                </c:pt>
                <c:pt idx="8">
                  <c:v>93.462857142857146</c:v>
                </c:pt>
              </c:numCache>
            </c:numRef>
          </c:xVal>
          <c:yVal>
            <c:numRef>
              <c:f>DB!$I$2:$I$32</c:f>
              <c:numCache>
                <c:formatCode>General</c:formatCode>
                <c:ptCount val="31"/>
                <c:pt idx="0">
                  <c:v>265</c:v>
                </c:pt>
                <c:pt idx="1">
                  <c:v>387</c:v>
                </c:pt>
                <c:pt idx="2">
                  <c:v>462</c:v>
                </c:pt>
                <c:pt idx="3">
                  <c:v>788</c:v>
                </c:pt>
                <c:pt idx="4">
                  <c:v>900</c:v>
                </c:pt>
                <c:pt idx="5">
                  <c:v>600</c:v>
                </c:pt>
                <c:pt idx="6">
                  <c:v>700</c:v>
                </c:pt>
                <c:pt idx="7">
                  <c:v>300</c:v>
                </c:pt>
                <c:pt idx="8">
                  <c:v>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EB-4154-A5AB-7BA60B905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595800"/>
        <c:axId val="733590552"/>
      </c:scatterChart>
      <c:valAx>
        <c:axId val="73359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3590552"/>
        <c:crosses val="autoZero"/>
        <c:crossBetween val="midCat"/>
      </c:valAx>
      <c:valAx>
        <c:axId val="73359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359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SNCF!$H$1</c:f>
              <c:strCache>
                <c:ptCount val="1"/>
                <c:pt idx="0">
                  <c:v> kmh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7682917760279964"/>
                  <c:y val="-0.11954177602799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SNCF!$G$2:$G$26</c:f>
              <c:numCache>
                <c:formatCode>General</c:formatCode>
                <c:ptCount val="25"/>
                <c:pt idx="0">
                  <c:v>400</c:v>
                </c:pt>
                <c:pt idx="1">
                  <c:v>350</c:v>
                </c:pt>
                <c:pt idx="2">
                  <c:v>500</c:v>
                </c:pt>
                <c:pt idx="3">
                  <c:v>450</c:v>
                </c:pt>
                <c:pt idx="4">
                  <c:v>300</c:v>
                </c:pt>
                <c:pt idx="5">
                  <c:v>1000</c:v>
                </c:pt>
                <c:pt idx="6">
                  <c:v>600</c:v>
                </c:pt>
                <c:pt idx="7">
                  <c:v>800</c:v>
                </c:pt>
                <c:pt idx="8">
                  <c:v>700</c:v>
                </c:pt>
              </c:numCache>
            </c:numRef>
          </c:xVal>
          <c:yVal>
            <c:numRef>
              <c:f>SNCF!$H$2:$H$26</c:f>
              <c:numCache>
                <c:formatCode>_(* #,##0.00_);_(* \(#,##0.00\);_(* "-"??_);_(@_)</c:formatCode>
                <c:ptCount val="25"/>
                <c:pt idx="0">
                  <c:v>81.104132231404961</c:v>
                </c:pt>
                <c:pt idx="1">
                  <c:v>52.666905187835425</c:v>
                </c:pt>
                <c:pt idx="2">
                  <c:v>97.164356435643569</c:v>
                </c:pt>
                <c:pt idx="3">
                  <c:v>89.485714285714295</c:v>
                </c:pt>
                <c:pt idx="4">
                  <c:v>35.385576923076925</c:v>
                </c:pt>
                <c:pt idx="5">
                  <c:v>142.91650485436892</c:v>
                </c:pt>
                <c:pt idx="6">
                  <c:v>108.63763837638378</c:v>
                </c:pt>
                <c:pt idx="7">
                  <c:v>138.21971830985919</c:v>
                </c:pt>
                <c:pt idx="8">
                  <c:v>130.84799999999998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65-46CE-8F29-F470AB996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228720"/>
        <c:axId val="435227408"/>
      </c:scatterChart>
      <c:valAx>
        <c:axId val="43522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5227408"/>
        <c:crosses val="autoZero"/>
        <c:crossBetween val="midCat"/>
      </c:valAx>
      <c:valAx>
        <c:axId val="4352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522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SNCF!$I$1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4.8170464448329058E-2"/>
                  <c:y val="-8.0007227357449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SNCF!$H$2:$H$32</c:f>
              <c:numCache>
                <c:formatCode>_(* #,##0.00_);_(* \(#,##0.00\);_(* "-"??_);_(@_)</c:formatCode>
                <c:ptCount val="31"/>
                <c:pt idx="0">
                  <c:v>81.104132231404961</c:v>
                </c:pt>
                <c:pt idx="1">
                  <c:v>52.666905187835425</c:v>
                </c:pt>
                <c:pt idx="2">
                  <c:v>97.164356435643569</c:v>
                </c:pt>
                <c:pt idx="3">
                  <c:v>89.485714285714295</c:v>
                </c:pt>
                <c:pt idx="4">
                  <c:v>35.385576923076925</c:v>
                </c:pt>
                <c:pt idx="5">
                  <c:v>142.91650485436892</c:v>
                </c:pt>
                <c:pt idx="6">
                  <c:v>108.63763837638378</c:v>
                </c:pt>
                <c:pt idx="7">
                  <c:v>138.21971830985919</c:v>
                </c:pt>
                <c:pt idx="8">
                  <c:v>130.84799999999998</c:v>
                </c:pt>
              </c:numCache>
            </c:numRef>
          </c:xVal>
          <c:yVal>
            <c:numRef>
              <c:f>SNCF!$I$2:$I$32</c:f>
              <c:numCache>
                <c:formatCode>General</c:formatCode>
                <c:ptCount val="31"/>
                <c:pt idx="0">
                  <c:v>400</c:v>
                </c:pt>
                <c:pt idx="1">
                  <c:v>350</c:v>
                </c:pt>
                <c:pt idx="2">
                  <c:v>500</c:v>
                </c:pt>
                <c:pt idx="3">
                  <c:v>450</c:v>
                </c:pt>
                <c:pt idx="4">
                  <c:v>300</c:v>
                </c:pt>
                <c:pt idx="5">
                  <c:v>1000</c:v>
                </c:pt>
                <c:pt idx="6">
                  <c:v>600</c:v>
                </c:pt>
                <c:pt idx="7">
                  <c:v>800</c:v>
                </c:pt>
                <c:pt idx="8">
                  <c:v>700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A4-4716-9EC5-5DDF7079A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595800"/>
        <c:axId val="733590552"/>
      </c:scatterChart>
      <c:valAx>
        <c:axId val="73359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3590552"/>
        <c:crosses val="autoZero"/>
        <c:crossBetween val="midCat"/>
      </c:valAx>
      <c:valAx>
        <c:axId val="73359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359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Rangier!$H$1</c:f>
              <c:strCache>
                <c:ptCount val="1"/>
                <c:pt idx="0">
                  <c:v> kmh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7682917760279964"/>
                  <c:y val="-0.11954177602799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Rangier!$G$2:$G$26</c:f>
              <c:numCache>
                <c:formatCode>General</c:formatCode>
                <c:ptCount val="25"/>
                <c:pt idx="0">
                  <c:v>36</c:v>
                </c:pt>
                <c:pt idx="1">
                  <c:v>234</c:v>
                </c:pt>
                <c:pt idx="2">
                  <c:v>504</c:v>
                </c:pt>
                <c:pt idx="3">
                  <c:v>126</c:v>
                </c:pt>
                <c:pt idx="4">
                  <c:v>396</c:v>
                </c:pt>
                <c:pt idx="5">
                  <c:v>330</c:v>
                </c:pt>
                <c:pt idx="6">
                  <c:v>618</c:v>
                </c:pt>
              </c:numCache>
            </c:numRef>
          </c:xVal>
          <c:yVal>
            <c:numRef>
              <c:f>Rangier!$H$2:$H$26</c:f>
              <c:numCache>
                <c:formatCode>_(* #,##0.00_);_(* \(#,##0.00\);_(* "-"??_);_(@_)</c:formatCode>
                <c:ptCount val="25"/>
                <c:pt idx="0">
                  <c:v>6.1850420168067224</c:v>
                </c:pt>
                <c:pt idx="1">
                  <c:v>49.068000000000005</c:v>
                </c:pt>
                <c:pt idx="2">
                  <c:v>92.290909090909096</c:v>
                </c:pt>
                <c:pt idx="3">
                  <c:v>23.55264</c:v>
                </c:pt>
                <c:pt idx="4">
                  <c:v>81.78</c:v>
                </c:pt>
                <c:pt idx="5">
                  <c:v>64.001739130434785</c:v>
                </c:pt>
                <c:pt idx="6">
                  <c:v>122.67000000000002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E7-49F0-B088-06D86C00E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228720"/>
        <c:axId val="435227408"/>
      </c:scatterChart>
      <c:valAx>
        <c:axId val="43522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5227408"/>
        <c:crosses val="autoZero"/>
        <c:crossBetween val="midCat"/>
      </c:valAx>
      <c:valAx>
        <c:axId val="4352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522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Rangier!$I$1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2223556430446196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Rangier!$H$2:$H$32</c:f>
              <c:numCache>
                <c:formatCode>_(* #,##0.00_);_(* \(#,##0.00\);_(* "-"??_);_(@_)</c:formatCode>
                <c:ptCount val="31"/>
                <c:pt idx="0">
                  <c:v>6.1850420168067224</c:v>
                </c:pt>
                <c:pt idx="1">
                  <c:v>49.068000000000005</c:v>
                </c:pt>
                <c:pt idx="2">
                  <c:v>92.290909090909096</c:v>
                </c:pt>
                <c:pt idx="3">
                  <c:v>23.55264</c:v>
                </c:pt>
                <c:pt idx="4">
                  <c:v>81.78</c:v>
                </c:pt>
                <c:pt idx="5">
                  <c:v>64.001739130434785</c:v>
                </c:pt>
                <c:pt idx="6">
                  <c:v>122.67000000000002</c:v>
                </c:pt>
              </c:numCache>
            </c:numRef>
          </c:xVal>
          <c:yVal>
            <c:numRef>
              <c:f>Rangier!$I$2:$I$32</c:f>
              <c:numCache>
                <c:formatCode>General</c:formatCode>
                <c:ptCount val="31"/>
                <c:pt idx="0">
                  <c:v>36</c:v>
                </c:pt>
                <c:pt idx="1">
                  <c:v>234</c:v>
                </c:pt>
                <c:pt idx="2">
                  <c:v>504</c:v>
                </c:pt>
                <c:pt idx="3">
                  <c:v>126</c:v>
                </c:pt>
                <c:pt idx="4">
                  <c:v>396</c:v>
                </c:pt>
                <c:pt idx="5">
                  <c:v>330</c:v>
                </c:pt>
                <c:pt idx="6">
                  <c:v>618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6-4C48-B2BD-69D361D22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595800"/>
        <c:axId val="733590552"/>
      </c:scatterChart>
      <c:valAx>
        <c:axId val="73359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3590552"/>
        <c:crosses val="autoZero"/>
        <c:crossBetween val="midCat"/>
      </c:valAx>
      <c:valAx>
        <c:axId val="73359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3595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365760</xdr:colOff>
      <xdr:row>3</xdr:row>
      <xdr:rowOff>140970</xdr:rowOff>
    </xdr:from>
    <xdr:to>
      <xdr:col>16</xdr:col>
      <xdr:colOff>182880</xdr:colOff>
      <xdr:row>18</xdr:row>
      <xdr:rowOff>140970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5079452-D0A4-4916-B2DF-291F5C4E2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304800</xdr:colOff>
      <xdr:row>3</xdr:row>
      <xdr:rowOff>166687</xdr:rowOff>
    </xdr:from>
    <xdr:to>
      <xdr:col>22</xdr:col>
      <xdr:colOff>304800</xdr:colOff>
      <xdr:row>18</xdr:row>
      <xdr:rowOff>52387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E567561-DC56-4EA4-BE69-5D9C6756A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365760</xdr:colOff>
      <xdr:row>3</xdr:row>
      <xdr:rowOff>140970</xdr:rowOff>
    </xdr:from>
    <xdr:to>
      <xdr:col>16</xdr:col>
      <xdr:colOff>182880</xdr:colOff>
      <xdr:row>18</xdr:row>
      <xdr:rowOff>140970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982788D-014B-4DBF-8BEA-12E2D8EAB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304800</xdr:colOff>
      <xdr:row>3</xdr:row>
      <xdr:rowOff>166687</xdr:rowOff>
    </xdr:from>
    <xdr:to>
      <xdr:col>22</xdr:col>
      <xdr:colOff>304800</xdr:colOff>
      <xdr:row>18</xdr:row>
      <xdr:rowOff>52387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B5BDC45-0655-497A-84E4-E48ADDE0A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365760</xdr:colOff>
      <xdr:row>3</xdr:row>
      <xdr:rowOff>140970</xdr:rowOff>
    </xdr:from>
    <xdr:to>
      <xdr:col>16</xdr:col>
      <xdr:colOff>182880</xdr:colOff>
      <xdr:row>18</xdr:row>
      <xdr:rowOff>140970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7D9D42D-3E6C-4768-9F64-590BAF2CA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304800</xdr:colOff>
      <xdr:row>3</xdr:row>
      <xdr:rowOff>166687</xdr:rowOff>
    </xdr:from>
    <xdr:to>
      <xdr:col>22</xdr:col>
      <xdr:colOff>304800</xdr:colOff>
      <xdr:row>18</xdr:row>
      <xdr:rowOff>52387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1D6B395-5B6A-43C5-9D97-E332DC012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0CFA-F61B-46CB-81DD-1628E27B73C5}">
  <dimension ref="A1:T32"/>
  <sheetViews>
    <sheetView tabSelected="1" topLeftCell="G3" workbookViewId="0">
      <selection activeCell="S24" sqref="S24"/>
    </sheetView>
  </sheetViews>
  <sheetFormatPr baseColWidth="10" defaultRowHeight="14.4" x14ac:dyDescent="0.3"/>
  <cols>
    <col min="4" max="4" width="11.5546875" style="1"/>
    <col min="7" max="7" width="5" bestFit="1" customWidth="1"/>
    <col min="8" max="8" width="7.6640625" style="1" bestFit="1" customWidth="1"/>
    <col min="9" max="9" width="5" bestFit="1" customWidth="1"/>
    <col min="19" max="19" width="4.88671875" bestFit="1" customWidth="1"/>
    <col min="20" max="20" width="6.88671875" style="4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6" t="s">
        <v>4</v>
      </c>
      <c r="F1" s="6"/>
      <c r="G1" s="5" t="s">
        <v>6</v>
      </c>
      <c r="H1" s="1" t="s">
        <v>5</v>
      </c>
      <c r="I1" t="str">
        <f>G1</f>
        <v>v</v>
      </c>
    </row>
    <row r="2" spans="1:9" x14ac:dyDescent="0.3">
      <c r="A2">
        <v>94</v>
      </c>
      <c r="B2">
        <f t="shared" ref="B2:B10" si="0">A2*87/100</f>
        <v>81.78</v>
      </c>
      <c r="C2">
        <v>26</v>
      </c>
      <c r="D2" s="1">
        <f t="shared" ref="D2:D10" si="1">B2/C2</f>
        <v>3.1453846153846152</v>
      </c>
      <c r="F2">
        <v>265</v>
      </c>
      <c r="G2">
        <f t="shared" ref="G2:G10" si="2">E2*256+F2</f>
        <v>265</v>
      </c>
      <c r="H2" s="1">
        <f t="shared" ref="H2:H10" si="3">D2*3.6</f>
        <v>11.323384615384615</v>
      </c>
      <c r="I2">
        <f t="shared" ref="I2:I32" si="4">G2</f>
        <v>265</v>
      </c>
    </row>
    <row r="3" spans="1:9" x14ac:dyDescent="0.3">
      <c r="A3">
        <v>94</v>
      </c>
      <c r="B3">
        <f t="shared" si="0"/>
        <v>81.78</v>
      </c>
      <c r="C3">
        <v>5.52</v>
      </c>
      <c r="D3" s="1">
        <f t="shared" si="1"/>
        <v>14.815217391304349</v>
      </c>
      <c r="F3">
        <v>387</v>
      </c>
      <c r="G3">
        <f t="shared" si="2"/>
        <v>387</v>
      </c>
      <c r="H3" s="1">
        <f t="shared" si="3"/>
        <v>53.334782608695662</v>
      </c>
      <c r="I3">
        <f t="shared" si="4"/>
        <v>387</v>
      </c>
    </row>
    <row r="4" spans="1:9" x14ac:dyDescent="0.3">
      <c r="A4">
        <v>94</v>
      </c>
      <c r="B4">
        <f t="shared" si="0"/>
        <v>81.78</v>
      </c>
      <c r="C4">
        <v>3.76</v>
      </c>
      <c r="D4" s="1">
        <f t="shared" si="1"/>
        <v>21.75</v>
      </c>
      <c r="F4">
        <v>462</v>
      </c>
      <c r="G4">
        <f t="shared" si="2"/>
        <v>462</v>
      </c>
      <c r="H4" s="1">
        <f t="shared" si="3"/>
        <v>78.3</v>
      </c>
      <c r="I4">
        <f t="shared" si="4"/>
        <v>462</v>
      </c>
    </row>
    <row r="5" spans="1:9" x14ac:dyDescent="0.3">
      <c r="A5">
        <v>94</v>
      </c>
      <c r="B5">
        <f t="shared" si="0"/>
        <v>81.78</v>
      </c>
      <c r="C5">
        <v>2.25</v>
      </c>
      <c r="D5" s="1">
        <f t="shared" si="1"/>
        <v>36.346666666666664</v>
      </c>
      <c r="F5">
        <v>788</v>
      </c>
      <c r="G5">
        <f t="shared" si="2"/>
        <v>788</v>
      </c>
      <c r="H5" s="1">
        <f t="shared" si="3"/>
        <v>130.84799999999998</v>
      </c>
      <c r="I5">
        <f t="shared" si="4"/>
        <v>788</v>
      </c>
    </row>
    <row r="6" spans="1:9" x14ac:dyDescent="0.3">
      <c r="A6">
        <v>94</v>
      </c>
      <c r="B6">
        <f t="shared" si="0"/>
        <v>81.78</v>
      </c>
      <c r="C6">
        <v>1.88</v>
      </c>
      <c r="D6" s="1">
        <f t="shared" si="1"/>
        <v>43.5</v>
      </c>
      <c r="F6">
        <v>900</v>
      </c>
      <c r="G6">
        <f t="shared" si="2"/>
        <v>900</v>
      </c>
      <c r="H6" s="1">
        <f t="shared" si="3"/>
        <v>156.6</v>
      </c>
      <c r="I6">
        <f t="shared" si="4"/>
        <v>900</v>
      </c>
    </row>
    <row r="7" spans="1:9" x14ac:dyDescent="0.3">
      <c r="A7">
        <v>94</v>
      </c>
      <c r="B7">
        <f t="shared" si="0"/>
        <v>81.78</v>
      </c>
      <c r="C7">
        <v>2.69</v>
      </c>
      <c r="D7" s="1">
        <f t="shared" si="1"/>
        <v>30.401486988847584</v>
      </c>
      <c r="F7">
        <v>600</v>
      </c>
      <c r="G7">
        <f t="shared" si="2"/>
        <v>600</v>
      </c>
      <c r="H7" s="1">
        <f t="shared" si="3"/>
        <v>109.44535315985131</v>
      </c>
      <c r="I7">
        <f t="shared" si="4"/>
        <v>600</v>
      </c>
    </row>
    <row r="8" spans="1:9" x14ac:dyDescent="0.3">
      <c r="A8">
        <v>94</v>
      </c>
      <c r="B8">
        <f t="shared" si="0"/>
        <v>81.78</v>
      </c>
      <c r="C8">
        <v>2.17</v>
      </c>
      <c r="D8" s="1">
        <f t="shared" si="1"/>
        <v>37.686635944700463</v>
      </c>
      <c r="F8">
        <v>700</v>
      </c>
      <c r="G8">
        <f t="shared" si="2"/>
        <v>700</v>
      </c>
      <c r="H8" s="1">
        <f t="shared" si="3"/>
        <v>135.67188940092166</v>
      </c>
      <c r="I8">
        <f t="shared" si="4"/>
        <v>700</v>
      </c>
    </row>
    <row r="9" spans="1:9" x14ac:dyDescent="0.3">
      <c r="A9">
        <v>94</v>
      </c>
      <c r="B9">
        <f t="shared" si="0"/>
        <v>81.78</v>
      </c>
      <c r="C9">
        <v>12.5</v>
      </c>
      <c r="D9" s="1">
        <f t="shared" si="1"/>
        <v>6.5423999999999998</v>
      </c>
      <c r="F9">
        <v>300</v>
      </c>
      <c r="G9">
        <f t="shared" si="2"/>
        <v>300</v>
      </c>
      <c r="H9" s="1">
        <f t="shared" si="3"/>
        <v>23.55264</v>
      </c>
      <c r="I9">
        <f t="shared" si="4"/>
        <v>300</v>
      </c>
    </row>
    <row r="10" spans="1:9" x14ac:dyDescent="0.3">
      <c r="A10">
        <v>94</v>
      </c>
      <c r="B10">
        <f t="shared" si="0"/>
        <v>81.78</v>
      </c>
      <c r="C10">
        <v>3.15</v>
      </c>
      <c r="D10" s="1">
        <f t="shared" si="1"/>
        <v>25.961904761904762</v>
      </c>
      <c r="G10">
        <v>500</v>
      </c>
      <c r="H10" s="1">
        <f t="shared" si="3"/>
        <v>93.462857142857146</v>
      </c>
      <c r="I10">
        <f t="shared" si="4"/>
        <v>500</v>
      </c>
    </row>
    <row r="11" spans="1:9" x14ac:dyDescent="0.3">
      <c r="I11">
        <f t="shared" si="4"/>
        <v>0</v>
      </c>
    </row>
    <row r="12" spans="1:9" x14ac:dyDescent="0.3">
      <c r="I12">
        <f t="shared" si="4"/>
        <v>0</v>
      </c>
    </row>
    <row r="13" spans="1:9" x14ac:dyDescent="0.3">
      <c r="I13">
        <f t="shared" si="4"/>
        <v>0</v>
      </c>
    </row>
    <row r="14" spans="1:9" x14ac:dyDescent="0.3">
      <c r="I14">
        <f t="shared" si="4"/>
        <v>0</v>
      </c>
    </row>
    <row r="15" spans="1:9" x14ac:dyDescent="0.3">
      <c r="I15">
        <f t="shared" si="4"/>
        <v>0</v>
      </c>
    </row>
    <row r="16" spans="1:9" x14ac:dyDescent="0.3">
      <c r="I16">
        <f t="shared" si="4"/>
        <v>0</v>
      </c>
    </row>
    <row r="17" spans="9:20" x14ac:dyDescent="0.3">
      <c r="I17">
        <f t="shared" si="4"/>
        <v>0</v>
      </c>
    </row>
    <row r="18" spans="9:20" x14ac:dyDescent="0.3">
      <c r="I18">
        <f t="shared" si="4"/>
        <v>0</v>
      </c>
    </row>
    <row r="19" spans="9:20" x14ac:dyDescent="0.3">
      <c r="I19">
        <f t="shared" si="4"/>
        <v>0</v>
      </c>
    </row>
    <row r="20" spans="9:20" x14ac:dyDescent="0.3">
      <c r="I20">
        <f t="shared" si="4"/>
        <v>0</v>
      </c>
      <c r="S20" t="s">
        <v>5</v>
      </c>
      <c r="T20" s="4" t="s">
        <v>6</v>
      </c>
    </row>
    <row r="21" spans="9:20" x14ac:dyDescent="0.3">
      <c r="I21">
        <f t="shared" si="4"/>
        <v>0</v>
      </c>
      <c r="S21">
        <v>0</v>
      </c>
      <c r="T21" s="4">
        <f>S21*5.1004</f>
        <v>0</v>
      </c>
    </row>
    <row r="22" spans="9:20" x14ac:dyDescent="0.3">
      <c r="I22">
        <f t="shared" si="4"/>
        <v>0</v>
      </c>
      <c r="S22">
        <v>30</v>
      </c>
      <c r="T22" s="4">
        <f>((S22*0.0193+1.0298)*S22+260.15)</f>
        <v>308.41399999999999</v>
      </c>
    </row>
    <row r="23" spans="9:20" x14ac:dyDescent="0.3">
      <c r="I23">
        <f t="shared" si="4"/>
        <v>0</v>
      </c>
      <c r="S23">
        <v>70</v>
      </c>
      <c r="T23" s="4">
        <f t="shared" ref="T23:T28" si="5">((S23*0.0193+1.0298)*S23+260.15)</f>
        <v>426.80599999999993</v>
      </c>
    </row>
    <row r="24" spans="9:20" x14ac:dyDescent="0.3">
      <c r="I24">
        <f t="shared" si="4"/>
        <v>0</v>
      </c>
      <c r="S24">
        <v>100</v>
      </c>
      <c r="T24" s="4">
        <f t="shared" si="5"/>
        <v>556.13</v>
      </c>
    </row>
    <row r="25" spans="9:20" x14ac:dyDescent="0.3">
      <c r="I25">
        <f t="shared" si="4"/>
        <v>0</v>
      </c>
      <c r="S25">
        <v>140</v>
      </c>
      <c r="T25" s="4">
        <f t="shared" si="5"/>
        <v>782.60199999999998</v>
      </c>
    </row>
    <row r="26" spans="9:20" x14ac:dyDescent="0.3">
      <c r="I26">
        <f t="shared" si="4"/>
        <v>0</v>
      </c>
      <c r="S26">
        <v>160</v>
      </c>
      <c r="T26" s="4">
        <f t="shared" si="5"/>
        <v>918.99799999999993</v>
      </c>
    </row>
    <row r="27" spans="9:20" x14ac:dyDescent="0.3">
      <c r="I27">
        <f t="shared" si="4"/>
        <v>0</v>
      </c>
      <c r="S27">
        <v>150</v>
      </c>
      <c r="T27" s="4">
        <f t="shared" si="5"/>
        <v>848.87</v>
      </c>
    </row>
    <row r="28" spans="9:20" x14ac:dyDescent="0.3">
      <c r="I28">
        <f t="shared" si="4"/>
        <v>0</v>
      </c>
      <c r="S28">
        <v>160</v>
      </c>
      <c r="T28" s="4">
        <f t="shared" si="5"/>
        <v>918.99799999999993</v>
      </c>
    </row>
    <row r="29" spans="9:20" x14ac:dyDescent="0.3">
      <c r="I29">
        <f t="shared" si="4"/>
        <v>0</v>
      </c>
    </row>
    <row r="30" spans="9:20" x14ac:dyDescent="0.3">
      <c r="I30">
        <f t="shared" si="4"/>
        <v>0</v>
      </c>
    </row>
    <row r="31" spans="9:20" x14ac:dyDescent="0.3">
      <c r="I31">
        <f t="shared" si="4"/>
        <v>0</v>
      </c>
    </row>
    <row r="32" spans="9:20" x14ac:dyDescent="0.3">
      <c r="I32">
        <f t="shared" si="4"/>
        <v>0</v>
      </c>
    </row>
  </sheetData>
  <mergeCells count="1">
    <mergeCell ref="E1:F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E0B9-2E98-4CE3-B734-C2F029D17FE5}">
  <dimension ref="A1:T32"/>
  <sheetViews>
    <sheetView topLeftCell="K1" workbookViewId="0">
      <selection activeCell="S26" sqref="S26"/>
    </sheetView>
  </sheetViews>
  <sheetFormatPr baseColWidth="10" defaultRowHeight="14.4" x14ac:dyDescent="0.3"/>
  <cols>
    <col min="4" max="4" width="11.44140625" style="1"/>
    <col min="7" max="7" width="5" bestFit="1" customWidth="1"/>
    <col min="8" max="8" width="7.6640625" style="1" bestFit="1" customWidth="1"/>
    <col min="9" max="9" width="5" bestFit="1" customWidth="1"/>
    <col min="19" max="19" width="4.88671875" bestFit="1" customWidth="1"/>
    <col min="20" max="20" width="6.88671875" style="4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6" t="s">
        <v>4</v>
      </c>
      <c r="F1" s="6"/>
      <c r="G1" s="3" t="s">
        <v>6</v>
      </c>
      <c r="H1" s="1" t="s">
        <v>5</v>
      </c>
      <c r="I1" t="str">
        <f>G1</f>
        <v>v</v>
      </c>
    </row>
    <row r="2" spans="1:9" x14ac:dyDescent="0.3">
      <c r="A2">
        <v>94</v>
      </c>
      <c r="B2">
        <f t="shared" ref="B2:B8" si="0">A2*87/100</f>
        <v>81.78</v>
      </c>
      <c r="C2">
        <v>3.63</v>
      </c>
      <c r="D2" s="1">
        <f t="shared" ref="D2:D8" si="1">B2/C2</f>
        <v>22.528925619834713</v>
      </c>
      <c r="F2">
        <v>400</v>
      </c>
      <c r="G2">
        <f t="shared" ref="G2:G8" si="2">E2*256+F2</f>
        <v>400</v>
      </c>
      <c r="H2" s="1">
        <f t="shared" ref="H2:H8" si="3">D2*3.6</f>
        <v>81.104132231404961</v>
      </c>
      <c r="I2">
        <f t="shared" ref="I2:I32" si="4">G2</f>
        <v>400</v>
      </c>
    </row>
    <row r="3" spans="1:9" x14ac:dyDescent="0.3">
      <c r="A3">
        <v>94</v>
      </c>
      <c r="B3">
        <f t="shared" si="0"/>
        <v>81.78</v>
      </c>
      <c r="C3">
        <v>5.59</v>
      </c>
      <c r="D3" s="1">
        <f t="shared" si="1"/>
        <v>14.62969588550984</v>
      </c>
      <c r="F3">
        <v>350</v>
      </c>
      <c r="G3">
        <f t="shared" si="2"/>
        <v>350</v>
      </c>
      <c r="H3" s="1">
        <f t="shared" si="3"/>
        <v>52.666905187835425</v>
      </c>
      <c r="I3">
        <f t="shared" si="4"/>
        <v>350</v>
      </c>
    </row>
    <row r="4" spans="1:9" x14ac:dyDescent="0.3">
      <c r="A4">
        <v>94</v>
      </c>
      <c r="B4">
        <f t="shared" si="0"/>
        <v>81.78</v>
      </c>
      <c r="C4">
        <v>3.03</v>
      </c>
      <c r="D4" s="1">
        <f t="shared" si="1"/>
        <v>26.990099009900991</v>
      </c>
      <c r="F4">
        <v>500</v>
      </c>
      <c r="G4">
        <f t="shared" si="2"/>
        <v>500</v>
      </c>
      <c r="H4" s="1">
        <f t="shared" si="3"/>
        <v>97.164356435643569</v>
      </c>
      <c r="I4">
        <f t="shared" si="4"/>
        <v>500</v>
      </c>
    </row>
    <row r="5" spans="1:9" x14ac:dyDescent="0.3">
      <c r="A5">
        <v>94</v>
      </c>
      <c r="B5">
        <f t="shared" si="0"/>
        <v>81.78</v>
      </c>
      <c r="C5">
        <v>3.29</v>
      </c>
      <c r="D5" s="1">
        <f t="shared" si="1"/>
        <v>24.857142857142858</v>
      </c>
      <c r="F5">
        <v>450</v>
      </c>
      <c r="G5">
        <f t="shared" si="2"/>
        <v>450</v>
      </c>
      <c r="H5" s="1">
        <f t="shared" si="3"/>
        <v>89.485714285714295</v>
      </c>
      <c r="I5">
        <f t="shared" si="4"/>
        <v>450</v>
      </c>
    </row>
    <row r="6" spans="1:9" x14ac:dyDescent="0.3">
      <c r="A6">
        <v>94</v>
      </c>
      <c r="B6">
        <f t="shared" si="0"/>
        <v>81.78</v>
      </c>
      <c r="C6">
        <v>8.32</v>
      </c>
      <c r="D6" s="1">
        <f t="shared" si="1"/>
        <v>9.8293269230769234</v>
      </c>
      <c r="F6">
        <v>300</v>
      </c>
      <c r="G6">
        <f t="shared" si="2"/>
        <v>300</v>
      </c>
      <c r="H6" s="1">
        <f t="shared" si="3"/>
        <v>35.385576923076925</v>
      </c>
      <c r="I6">
        <f t="shared" si="4"/>
        <v>300</v>
      </c>
    </row>
    <row r="7" spans="1:9" x14ac:dyDescent="0.3">
      <c r="A7">
        <v>94</v>
      </c>
      <c r="B7">
        <f t="shared" si="0"/>
        <v>81.78</v>
      </c>
      <c r="C7">
        <v>2.06</v>
      </c>
      <c r="D7" s="1">
        <f t="shared" si="1"/>
        <v>39.699029126213588</v>
      </c>
      <c r="F7">
        <v>1000</v>
      </c>
      <c r="G7">
        <f t="shared" si="2"/>
        <v>1000</v>
      </c>
      <c r="H7" s="1">
        <f t="shared" si="3"/>
        <v>142.91650485436892</v>
      </c>
      <c r="I7">
        <f t="shared" si="4"/>
        <v>1000</v>
      </c>
    </row>
    <row r="8" spans="1:9" x14ac:dyDescent="0.3">
      <c r="A8">
        <v>94</v>
      </c>
      <c r="B8">
        <f t="shared" si="0"/>
        <v>81.78</v>
      </c>
      <c r="C8">
        <v>2.71</v>
      </c>
      <c r="D8" s="1">
        <f t="shared" si="1"/>
        <v>30.177121771217713</v>
      </c>
      <c r="F8">
        <v>600</v>
      </c>
      <c r="G8">
        <f t="shared" si="2"/>
        <v>600</v>
      </c>
      <c r="H8" s="1">
        <f t="shared" si="3"/>
        <v>108.63763837638378</v>
      </c>
      <c r="I8">
        <f t="shared" si="4"/>
        <v>600</v>
      </c>
    </row>
    <row r="9" spans="1:9" x14ac:dyDescent="0.3">
      <c r="A9">
        <v>94</v>
      </c>
      <c r="B9">
        <f t="shared" ref="B9" si="5">A9*87/100</f>
        <v>81.78</v>
      </c>
      <c r="C9">
        <v>2.13</v>
      </c>
      <c r="D9" s="1">
        <f t="shared" ref="D9" si="6">B9/C9</f>
        <v>38.394366197183103</v>
      </c>
      <c r="F9">
        <v>800</v>
      </c>
      <c r="G9">
        <f t="shared" ref="G9" si="7">E9*256+F9</f>
        <v>800</v>
      </c>
      <c r="H9" s="1">
        <f t="shared" ref="H9" si="8">D9*3.6</f>
        <v>138.21971830985919</v>
      </c>
      <c r="I9">
        <f t="shared" ref="I9" si="9">G9</f>
        <v>800</v>
      </c>
    </row>
    <row r="10" spans="1:9" x14ac:dyDescent="0.3">
      <c r="A10">
        <v>94</v>
      </c>
      <c r="B10">
        <f t="shared" ref="B10" si="10">A10*87/100</f>
        <v>81.78</v>
      </c>
      <c r="C10">
        <v>2.25</v>
      </c>
      <c r="D10" s="1">
        <f t="shared" ref="D10" si="11">B10/C10</f>
        <v>36.346666666666664</v>
      </c>
      <c r="F10">
        <v>700</v>
      </c>
      <c r="G10">
        <f t="shared" ref="G10" si="12">E10*256+F10</f>
        <v>700</v>
      </c>
      <c r="H10" s="1">
        <f t="shared" ref="H10" si="13">D10*3.6</f>
        <v>130.84799999999998</v>
      </c>
      <c r="I10">
        <f t="shared" ref="I10" si="14">G10</f>
        <v>700</v>
      </c>
    </row>
    <row r="11" spans="1:9" x14ac:dyDescent="0.3">
      <c r="I11">
        <f t="shared" si="4"/>
        <v>0</v>
      </c>
    </row>
    <row r="12" spans="1:9" x14ac:dyDescent="0.3">
      <c r="I12">
        <f t="shared" si="4"/>
        <v>0</v>
      </c>
    </row>
    <row r="13" spans="1:9" x14ac:dyDescent="0.3">
      <c r="I13">
        <f t="shared" si="4"/>
        <v>0</v>
      </c>
    </row>
    <row r="14" spans="1:9" x14ac:dyDescent="0.3">
      <c r="I14">
        <f t="shared" si="4"/>
        <v>0</v>
      </c>
    </row>
    <row r="15" spans="1:9" x14ac:dyDescent="0.3">
      <c r="I15">
        <f t="shared" si="4"/>
        <v>0</v>
      </c>
    </row>
    <row r="16" spans="1:9" x14ac:dyDescent="0.3">
      <c r="I16">
        <f t="shared" si="4"/>
        <v>0</v>
      </c>
    </row>
    <row r="17" spans="9:20" x14ac:dyDescent="0.3">
      <c r="I17">
        <f t="shared" si="4"/>
        <v>0</v>
      </c>
    </row>
    <row r="18" spans="9:20" x14ac:dyDescent="0.3">
      <c r="I18">
        <f t="shared" si="4"/>
        <v>0</v>
      </c>
    </row>
    <row r="19" spans="9:20" x14ac:dyDescent="0.3">
      <c r="I19">
        <f t="shared" si="4"/>
        <v>0</v>
      </c>
    </row>
    <row r="20" spans="9:20" x14ac:dyDescent="0.3">
      <c r="I20">
        <f t="shared" si="4"/>
        <v>0</v>
      </c>
      <c r="S20" t="s">
        <v>5</v>
      </c>
      <c r="T20" s="4" t="s">
        <v>6</v>
      </c>
    </row>
    <row r="21" spans="9:20" x14ac:dyDescent="0.3">
      <c r="I21">
        <f t="shared" si="4"/>
        <v>0</v>
      </c>
      <c r="S21">
        <v>0</v>
      </c>
      <c r="T21" s="4">
        <f>S21*5.1004</f>
        <v>0</v>
      </c>
    </row>
    <row r="22" spans="9:20" x14ac:dyDescent="0.3">
      <c r="I22">
        <f t="shared" si="4"/>
        <v>0</v>
      </c>
      <c r="S22">
        <v>30</v>
      </c>
      <c r="T22" s="4">
        <f>((S22*0.0008-0.1676)*S22+13.486)*S22-10.619</f>
        <v>264.721</v>
      </c>
    </row>
    <row r="23" spans="9:20" x14ac:dyDescent="0.3">
      <c r="I23">
        <f t="shared" si="4"/>
        <v>0</v>
      </c>
      <c r="S23">
        <v>50</v>
      </c>
      <c r="T23" s="4">
        <f t="shared" ref="T23:T25" si="15">((S23*0.0008-0.1676)*S23+13.486)*S23-10.619</f>
        <v>344.68100000000004</v>
      </c>
    </row>
    <row r="24" spans="9:20" x14ac:dyDescent="0.3">
      <c r="I24">
        <f t="shared" si="4"/>
        <v>0</v>
      </c>
      <c r="S24">
        <v>80</v>
      </c>
      <c r="T24" s="4">
        <f t="shared" si="15"/>
        <v>405.221</v>
      </c>
    </row>
    <row r="25" spans="9:20" x14ac:dyDescent="0.3">
      <c r="I25">
        <f t="shared" si="4"/>
        <v>0</v>
      </c>
      <c r="S25">
        <v>100</v>
      </c>
      <c r="T25" s="4">
        <f t="shared" si="15"/>
        <v>461.98100000000011</v>
      </c>
    </row>
    <row r="26" spans="9:20" x14ac:dyDescent="0.3">
      <c r="I26">
        <f t="shared" si="4"/>
        <v>0</v>
      </c>
      <c r="S26">
        <v>140</v>
      </c>
      <c r="T26" s="4">
        <f t="shared" ref="T26" si="16">((S26*0.0008-0.1676)*S26+13.486)*S26-10.619</f>
        <v>787.66100000000006</v>
      </c>
    </row>
    <row r="27" spans="9:20" x14ac:dyDescent="0.3">
      <c r="I27">
        <f t="shared" si="4"/>
        <v>0</v>
      </c>
    </row>
    <row r="28" spans="9:20" x14ac:dyDescent="0.3">
      <c r="I28">
        <f t="shared" si="4"/>
        <v>0</v>
      </c>
    </row>
    <row r="29" spans="9:20" x14ac:dyDescent="0.3">
      <c r="I29">
        <f t="shared" si="4"/>
        <v>0</v>
      </c>
    </row>
    <row r="30" spans="9:20" x14ac:dyDescent="0.3">
      <c r="I30">
        <f t="shared" si="4"/>
        <v>0</v>
      </c>
    </row>
    <row r="31" spans="9:20" x14ac:dyDescent="0.3">
      <c r="I31">
        <f t="shared" si="4"/>
        <v>0</v>
      </c>
    </row>
    <row r="32" spans="9:20" x14ac:dyDescent="0.3">
      <c r="I32">
        <f t="shared" si="4"/>
        <v>0</v>
      </c>
    </row>
  </sheetData>
  <mergeCells count="1">
    <mergeCell ref="E1:F1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8AB3-12F8-4AB6-A0AC-53EA1CD2E56A}">
  <dimension ref="A1:T32"/>
  <sheetViews>
    <sheetView workbookViewId="0">
      <selection activeCell="S25" sqref="S25"/>
    </sheetView>
  </sheetViews>
  <sheetFormatPr baseColWidth="10" defaultRowHeight="14.4" x14ac:dyDescent="0.3"/>
  <cols>
    <col min="4" max="4" width="11.5546875" style="1"/>
    <col min="7" max="7" width="4" bestFit="1" customWidth="1"/>
    <col min="8" max="8" width="7.6640625" style="1" bestFit="1" customWidth="1"/>
    <col min="9" max="9" width="4" bestFit="1" customWidth="1"/>
    <col min="19" max="19" width="4.88671875" bestFit="1" customWidth="1"/>
    <col min="20" max="20" width="5.44140625" style="4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6" t="s">
        <v>4</v>
      </c>
      <c r="F1" s="6"/>
      <c r="G1" s="2" t="s">
        <v>6</v>
      </c>
      <c r="H1" s="1" t="s">
        <v>5</v>
      </c>
      <c r="I1" t="str">
        <f>G1</f>
        <v>v</v>
      </c>
    </row>
    <row r="2" spans="1:9" x14ac:dyDescent="0.3">
      <c r="A2">
        <v>94</v>
      </c>
      <c r="B2">
        <f t="shared" ref="B2:B8" si="0">A2*87/100</f>
        <v>81.78</v>
      </c>
      <c r="C2">
        <v>47.6</v>
      </c>
      <c r="D2" s="1">
        <f t="shared" ref="D2:D8" si="1">B2/C2</f>
        <v>1.7180672268907562</v>
      </c>
      <c r="E2">
        <v>0</v>
      </c>
      <c r="F2">
        <v>36</v>
      </c>
      <c r="G2">
        <f t="shared" ref="G2:G8" si="2">E2*256+F2</f>
        <v>36</v>
      </c>
      <c r="H2" s="1">
        <f t="shared" ref="H2:H8" si="3">D2*3.6</f>
        <v>6.1850420168067224</v>
      </c>
      <c r="I2">
        <f t="shared" ref="I2:I32" si="4">G2</f>
        <v>36</v>
      </c>
    </row>
    <row r="3" spans="1:9" x14ac:dyDescent="0.3">
      <c r="A3">
        <v>94</v>
      </c>
      <c r="B3">
        <f t="shared" si="0"/>
        <v>81.78</v>
      </c>
      <c r="C3">
        <v>6</v>
      </c>
      <c r="D3" s="1">
        <f t="shared" si="1"/>
        <v>13.63</v>
      </c>
      <c r="E3">
        <v>0</v>
      </c>
      <c r="F3">
        <v>234</v>
      </c>
      <c r="G3">
        <f t="shared" si="2"/>
        <v>234</v>
      </c>
      <c r="H3" s="1">
        <f t="shared" si="3"/>
        <v>49.068000000000005</v>
      </c>
      <c r="I3">
        <f t="shared" si="4"/>
        <v>234</v>
      </c>
    </row>
    <row r="4" spans="1:9" x14ac:dyDescent="0.3">
      <c r="A4">
        <v>94</v>
      </c>
      <c r="B4">
        <f t="shared" si="0"/>
        <v>81.78</v>
      </c>
      <c r="C4">
        <v>3.19</v>
      </c>
      <c r="D4" s="1">
        <f t="shared" si="1"/>
        <v>25.636363636363637</v>
      </c>
      <c r="E4">
        <v>1</v>
      </c>
      <c r="F4">
        <v>248</v>
      </c>
      <c r="G4">
        <f t="shared" si="2"/>
        <v>504</v>
      </c>
      <c r="H4" s="1">
        <f t="shared" si="3"/>
        <v>92.290909090909096</v>
      </c>
      <c r="I4">
        <f t="shared" si="4"/>
        <v>504</v>
      </c>
    </row>
    <row r="5" spans="1:9" x14ac:dyDescent="0.3">
      <c r="A5">
        <v>94</v>
      </c>
      <c r="B5">
        <f t="shared" si="0"/>
        <v>81.78</v>
      </c>
      <c r="C5">
        <v>12.5</v>
      </c>
      <c r="D5" s="1">
        <f t="shared" si="1"/>
        <v>6.5423999999999998</v>
      </c>
      <c r="E5">
        <v>0</v>
      </c>
      <c r="F5">
        <v>126</v>
      </c>
      <c r="G5">
        <f t="shared" si="2"/>
        <v>126</v>
      </c>
      <c r="H5" s="1">
        <f t="shared" si="3"/>
        <v>23.55264</v>
      </c>
      <c r="I5">
        <f t="shared" si="4"/>
        <v>126</v>
      </c>
    </row>
    <row r="6" spans="1:9" x14ac:dyDescent="0.3">
      <c r="A6">
        <v>94</v>
      </c>
      <c r="B6">
        <f t="shared" si="0"/>
        <v>81.78</v>
      </c>
      <c r="C6">
        <v>3.6</v>
      </c>
      <c r="D6" s="1">
        <f t="shared" si="1"/>
        <v>22.716666666666665</v>
      </c>
      <c r="E6">
        <v>1</v>
      </c>
      <c r="F6">
        <v>140</v>
      </c>
      <c r="G6">
        <f t="shared" si="2"/>
        <v>396</v>
      </c>
      <c r="H6" s="1">
        <f t="shared" si="3"/>
        <v>81.78</v>
      </c>
      <c r="I6">
        <f t="shared" si="4"/>
        <v>396</v>
      </c>
    </row>
    <row r="7" spans="1:9" x14ac:dyDescent="0.3">
      <c r="A7">
        <v>94</v>
      </c>
      <c r="B7">
        <f t="shared" si="0"/>
        <v>81.78</v>
      </c>
      <c r="C7">
        <v>4.5999999999999996</v>
      </c>
      <c r="D7" s="1">
        <f t="shared" si="1"/>
        <v>17.778260869565219</v>
      </c>
      <c r="E7">
        <v>1</v>
      </c>
      <c r="F7">
        <v>74</v>
      </c>
      <c r="G7">
        <f t="shared" si="2"/>
        <v>330</v>
      </c>
      <c r="H7" s="1">
        <f t="shared" si="3"/>
        <v>64.001739130434785</v>
      </c>
      <c r="I7">
        <f t="shared" si="4"/>
        <v>330</v>
      </c>
    </row>
    <row r="8" spans="1:9" x14ac:dyDescent="0.3">
      <c r="A8">
        <v>94</v>
      </c>
      <c r="B8">
        <f t="shared" si="0"/>
        <v>81.78</v>
      </c>
      <c r="C8">
        <v>2.4</v>
      </c>
      <c r="D8" s="1">
        <f t="shared" si="1"/>
        <v>34.075000000000003</v>
      </c>
      <c r="E8">
        <v>2</v>
      </c>
      <c r="F8">
        <v>106</v>
      </c>
      <c r="G8">
        <f t="shared" si="2"/>
        <v>618</v>
      </c>
      <c r="H8" s="1">
        <f t="shared" si="3"/>
        <v>122.67000000000002</v>
      </c>
      <c r="I8">
        <f t="shared" si="4"/>
        <v>618</v>
      </c>
    </row>
    <row r="9" spans="1:9" x14ac:dyDescent="0.3">
      <c r="I9">
        <f t="shared" si="4"/>
        <v>0</v>
      </c>
    </row>
    <row r="10" spans="1:9" x14ac:dyDescent="0.3">
      <c r="I10">
        <f t="shared" si="4"/>
        <v>0</v>
      </c>
    </row>
    <row r="11" spans="1:9" x14ac:dyDescent="0.3">
      <c r="I11">
        <f t="shared" si="4"/>
        <v>0</v>
      </c>
    </row>
    <row r="12" spans="1:9" x14ac:dyDescent="0.3">
      <c r="I12">
        <f t="shared" si="4"/>
        <v>0</v>
      </c>
    </row>
    <row r="13" spans="1:9" x14ac:dyDescent="0.3">
      <c r="I13">
        <f t="shared" si="4"/>
        <v>0</v>
      </c>
    </row>
    <row r="14" spans="1:9" x14ac:dyDescent="0.3">
      <c r="I14">
        <f t="shared" si="4"/>
        <v>0</v>
      </c>
    </row>
    <row r="15" spans="1:9" x14ac:dyDescent="0.3">
      <c r="I15">
        <f t="shared" si="4"/>
        <v>0</v>
      </c>
    </row>
    <row r="16" spans="1:9" x14ac:dyDescent="0.3">
      <c r="I16">
        <f t="shared" si="4"/>
        <v>0</v>
      </c>
    </row>
    <row r="17" spans="9:20" x14ac:dyDescent="0.3">
      <c r="I17">
        <f t="shared" si="4"/>
        <v>0</v>
      </c>
    </row>
    <row r="18" spans="9:20" x14ac:dyDescent="0.3">
      <c r="I18">
        <f t="shared" si="4"/>
        <v>0</v>
      </c>
    </row>
    <row r="19" spans="9:20" x14ac:dyDescent="0.3">
      <c r="I19">
        <f t="shared" si="4"/>
        <v>0</v>
      </c>
    </row>
    <row r="20" spans="9:20" x14ac:dyDescent="0.3">
      <c r="I20">
        <f t="shared" si="4"/>
        <v>0</v>
      </c>
      <c r="S20" t="s">
        <v>5</v>
      </c>
      <c r="T20" s="4" t="s">
        <v>6</v>
      </c>
    </row>
    <row r="21" spans="9:20" x14ac:dyDescent="0.3">
      <c r="I21">
        <f t="shared" si="4"/>
        <v>0</v>
      </c>
      <c r="S21">
        <v>0</v>
      </c>
      <c r="T21" s="4">
        <f>S21*5.1004</f>
        <v>0</v>
      </c>
    </row>
    <row r="22" spans="9:20" x14ac:dyDescent="0.3">
      <c r="I22">
        <f t="shared" si="4"/>
        <v>0</v>
      </c>
      <c r="S22">
        <v>30</v>
      </c>
      <c r="T22" s="4">
        <f t="shared" ref="T22:T25" si="5">S22*5.1004</f>
        <v>153.012</v>
      </c>
    </row>
    <row r="23" spans="9:20" x14ac:dyDescent="0.3">
      <c r="I23">
        <f t="shared" si="4"/>
        <v>0</v>
      </c>
      <c r="S23">
        <v>50</v>
      </c>
      <c r="T23" s="4">
        <f t="shared" si="5"/>
        <v>255.01999999999998</v>
      </c>
    </row>
    <row r="24" spans="9:20" x14ac:dyDescent="0.3">
      <c r="I24">
        <f t="shared" si="4"/>
        <v>0</v>
      </c>
      <c r="S24">
        <v>80</v>
      </c>
      <c r="T24" s="4">
        <f t="shared" si="5"/>
        <v>408.03199999999998</v>
      </c>
    </row>
    <row r="25" spans="9:20" x14ac:dyDescent="0.3">
      <c r="I25">
        <f t="shared" si="4"/>
        <v>0</v>
      </c>
      <c r="S25">
        <v>100</v>
      </c>
      <c r="T25" s="4">
        <f t="shared" si="5"/>
        <v>510.03999999999996</v>
      </c>
    </row>
    <row r="26" spans="9:20" x14ac:dyDescent="0.3">
      <c r="I26">
        <f t="shared" si="4"/>
        <v>0</v>
      </c>
      <c r="S26">
        <v>110</v>
      </c>
      <c r="T26" s="4">
        <f t="shared" ref="T26" si="6">S26*5.1004</f>
        <v>561.04399999999998</v>
      </c>
    </row>
    <row r="27" spans="9:20" x14ac:dyDescent="0.3">
      <c r="I27">
        <f t="shared" si="4"/>
        <v>0</v>
      </c>
    </row>
    <row r="28" spans="9:20" x14ac:dyDescent="0.3">
      <c r="I28">
        <f t="shared" si="4"/>
        <v>0</v>
      </c>
    </row>
    <row r="29" spans="9:20" x14ac:dyDescent="0.3">
      <c r="I29">
        <f t="shared" si="4"/>
        <v>0</v>
      </c>
    </row>
    <row r="30" spans="9:20" x14ac:dyDescent="0.3">
      <c r="I30">
        <f t="shared" si="4"/>
        <v>0</v>
      </c>
    </row>
    <row r="31" spans="9:20" x14ac:dyDescent="0.3">
      <c r="I31">
        <f t="shared" si="4"/>
        <v>0</v>
      </c>
    </row>
    <row r="32" spans="9:20" x14ac:dyDescent="0.3">
      <c r="I32">
        <f t="shared" si="4"/>
        <v>0</v>
      </c>
    </row>
  </sheetData>
  <mergeCells count="1">
    <mergeCell ref="E1:F1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DB</vt:lpstr>
      <vt:lpstr>SNCF</vt:lpstr>
      <vt:lpstr>Rangier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Burkhard Borys</dc:creator>
  <cp:lastModifiedBy>Burkhard Borys</cp:lastModifiedBy>
  <dcterms:created xsi:type="dcterms:W3CDTF">2022-04-09T22:50:25Z</dcterms:created>
  <dcterms:modified xsi:type="dcterms:W3CDTF">2022-06-19T13:16:50Z</dcterms:modified>
</cp:coreProperties>
</file>